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Пидорасу\"/>
    </mc:Choice>
  </mc:AlternateContent>
  <xr:revisionPtr revIDLastSave="0" documentId="13_ncr:1_{E3EA201F-B172-403D-B225-910C218DA96B}" xr6:coauthVersionLast="47" xr6:coauthVersionMax="47" xr10:uidLastSave="{00000000-0000-0000-0000-000000000000}"/>
  <bookViews>
    <workbookView xWindow="-108" yWindow="-108" windowWidth="23256" windowHeight="13896" xr2:uid="{64544C50-B9BC-4FF2-A51E-284C32676B5A}"/>
  </bookViews>
  <sheets>
    <sheet name="Лист1" sheetId="1" r:id="rId1"/>
  </sheets>
  <definedNames>
    <definedName name="solver_adj" localSheetId="0" hidden="1">Лист1!$B$13:$E$16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Лист1!$B$13:$F$15</definedName>
    <definedName name="solver_lhs2" localSheetId="0" hidden="1">Лист1!$B$17:$E$17</definedName>
    <definedName name="solver_lhs3" localSheetId="0" hidden="1">Лист1!$F$13:$F$16</definedName>
    <definedName name="solver_lhs4" localSheetId="0" hidden="1">Лист1!$F$13:$F$16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Лист1!$A$20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hs1" localSheetId="0" hidden="1">0</definedName>
    <definedName name="solver_rhs2" localSheetId="0" hidden="1">Лист1!$B$10:$E$10</definedName>
    <definedName name="solver_rhs3" localSheetId="0" hidden="1">Лист1!$F$6:$F$9</definedName>
    <definedName name="solver_rhs4" localSheetId="0" hidden="1">Лист1!$F$6:$F$9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B17" i="1"/>
  <c r="F14" i="1"/>
  <c r="F15" i="1"/>
  <c r="F16" i="1"/>
  <c r="F13" i="1"/>
  <c r="G18" i="1"/>
  <c r="A20" i="1" l="1"/>
</calcChain>
</file>

<file path=xl/sharedStrings.xml><?xml version="1.0" encoding="utf-8"?>
<sst xmlns="http://schemas.openxmlformats.org/spreadsheetml/2006/main" count="27" uniqueCount="19">
  <si>
    <t>Транспортная модель</t>
  </si>
  <si>
    <t>К-во п. отправления</t>
  </si>
  <si>
    <t>Входные данные</t>
  </si>
  <si>
    <t>К-во п. назначения</t>
  </si>
  <si>
    <t>Матрица стоимостей</t>
  </si>
  <si>
    <t>D1</t>
  </si>
  <si>
    <t>D2</t>
  </si>
  <si>
    <t>D3</t>
  </si>
  <si>
    <t>D4</t>
  </si>
  <si>
    <t>D5</t>
  </si>
  <si>
    <t>S1</t>
  </si>
  <si>
    <t>S2</t>
  </si>
  <si>
    <t>S3</t>
  </si>
  <si>
    <t>Спрос</t>
  </si>
  <si>
    <t>Перевозки</t>
  </si>
  <si>
    <t>Итого отправлено</t>
  </si>
  <si>
    <t>Итого получено</t>
  </si>
  <si>
    <t>S4</t>
  </si>
  <si>
    <t>Предлож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</si>
</sst>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2ED7-CEA0-4998-BC8E-BABE171EEBF4}">
  <dimension ref="A1:L20"/>
  <sheetViews>
    <sheetView tabSelected="1" topLeftCell="A4" workbookViewId="0">
      <selection activeCell="G18" sqref="G18"/>
    </sheetView>
  </sheetViews>
  <sheetFormatPr defaultRowHeight="14.4" x14ac:dyDescent="0.3"/>
  <cols>
    <col min="1" max="1" width="20.109375" customWidth="1"/>
    <col min="7" max="7" width="16.77734375" customWidth="1"/>
  </cols>
  <sheetData>
    <row r="1" spans="1:12" x14ac:dyDescent="0.3">
      <c r="A1" t="s">
        <v>0</v>
      </c>
    </row>
    <row r="2" spans="1:12" x14ac:dyDescent="0.3">
      <c r="A2" t="s">
        <v>2</v>
      </c>
    </row>
    <row r="3" spans="1:12" x14ac:dyDescent="0.3">
      <c r="A3" t="s">
        <v>1</v>
      </c>
      <c r="B3">
        <v>4</v>
      </c>
    </row>
    <row r="4" spans="1:12" x14ac:dyDescent="0.3">
      <c r="A4" t="s">
        <v>3</v>
      </c>
      <c r="B4">
        <v>4</v>
      </c>
    </row>
    <row r="5" spans="1:12" x14ac:dyDescent="0.3">
      <c r="A5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5" t="s">
        <v>18</v>
      </c>
      <c r="K5" s="4"/>
    </row>
    <row r="6" spans="1:12" x14ac:dyDescent="0.3">
      <c r="A6" s="1" t="s">
        <v>10</v>
      </c>
      <c r="B6">
        <v>1</v>
      </c>
      <c r="C6">
        <v>3</v>
      </c>
      <c r="D6">
        <v>3</v>
      </c>
      <c r="E6">
        <v>4</v>
      </c>
      <c r="F6">
        <v>50</v>
      </c>
      <c r="K6" s="4"/>
    </row>
    <row r="7" spans="1:12" x14ac:dyDescent="0.3">
      <c r="A7" s="1" t="s">
        <v>11</v>
      </c>
      <c r="B7">
        <v>5</v>
      </c>
      <c r="C7">
        <v>2</v>
      </c>
      <c r="D7">
        <v>7</v>
      </c>
      <c r="E7">
        <v>5</v>
      </c>
      <c r="F7">
        <v>30</v>
      </c>
      <c r="K7" s="4"/>
    </row>
    <row r="8" spans="1:12" x14ac:dyDescent="0.3">
      <c r="A8" s="1" t="s">
        <v>12</v>
      </c>
      <c r="B8">
        <v>6</v>
      </c>
      <c r="C8">
        <v>4</v>
      </c>
      <c r="D8">
        <v>8</v>
      </c>
      <c r="E8">
        <v>2</v>
      </c>
      <c r="F8">
        <v>30</v>
      </c>
      <c r="K8" s="4"/>
    </row>
    <row r="9" spans="1:12" x14ac:dyDescent="0.3">
      <c r="A9" s="1" t="s">
        <v>17</v>
      </c>
      <c r="B9">
        <v>7</v>
      </c>
      <c r="C9">
        <v>1</v>
      </c>
      <c r="D9">
        <v>5</v>
      </c>
      <c r="E9">
        <v>7</v>
      </c>
      <c r="F9">
        <v>10</v>
      </c>
      <c r="K9" s="4"/>
    </row>
    <row r="10" spans="1:12" x14ac:dyDescent="0.3">
      <c r="A10" s="5" t="s">
        <v>13</v>
      </c>
      <c r="B10">
        <v>40</v>
      </c>
      <c r="C10">
        <v>30</v>
      </c>
      <c r="D10">
        <v>35</v>
      </c>
      <c r="E10">
        <v>15</v>
      </c>
      <c r="F10">
        <v>0</v>
      </c>
    </row>
    <row r="11" spans="1:12" x14ac:dyDescent="0.3">
      <c r="A11" t="s">
        <v>14</v>
      </c>
    </row>
    <row r="12" spans="1:12" x14ac:dyDescent="0.3"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t="s">
        <v>15</v>
      </c>
    </row>
    <row r="13" spans="1:12" x14ac:dyDescent="0.3">
      <c r="A13" s="1" t="s">
        <v>10</v>
      </c>
      <c r="B13">
        <v>25</v>
      </c>
      <c r="C13">
        <v>0</v>
      </c>
      <c r="D13">
        <v>25</v>
      </c>
      <c r="E13">
        <v>0</v>
      </c>
      <c r="F13">
        <f>SUM(B13:E13)</f>
        <v>50</v>
      </c>
      <c r="L13" s="2"/>
    </row>
    <row r="14" spans="1:12" x14ac:dyDescent="0.3">
      <c r="A14" s="1" t="s">
        <v>11</v>
      </c>
      <c r="B14">
        <v>0</v>
      </c>
      <c r="C14">
        <v>30</v>
      </c>
      <c r="D14">
        <v>0</v>
      </c>
      <c r="E14">
        <v>0</v>
      </c>
      <c r="F14">
        <f t="shared" ref="F14:F16" si="0">SUM(B14:E14)</f>
        <v>30</v>
      </c>
      <c r="L14" s="2"/>
    </row>
    <row r="15" spans="1:12" x14ac:dyDescent="0.3">
      <c r="A15" s="1" t="s">
        <v>12</v>
      </c>
      <c r="B15">
        <v>15</v>
      </c>
      <c r="C15">
        <v>0</v>
      </c>
      <c r="D15">
        <v>0</v>
      </c>
      <c r="E15">
        <v>15</v>
      </c>
      <c r="F15">
        <f t="shared" si="0"/>
        <v>30</v>
      </c>
      <c r="L15" s="2"/>
    </row>
    <row r="16" spans="1:12" x14ac:dyDescent="0.3">
      <c r="A16" s="1" t="s">
        <v>17</v>
      </c>
      <c r="B16">
        <v>0</v>
      </c>
      <c r="C16">
        <v>0</v>
      </c>
      <c r="D16">
        <v>10</v>
      </c>
      <c r="E16">
        <v>0</v>
      </c>
      <c r="F16">
        <f t="shared" si="0"/>
        <v>10</v>
      </c>
    </row>
    <row r="17" spans="1:7" x14ac:dyDescent="0.3">
      <c r="A17" t="s">
        <v>16</v>
      </c>
      <c r="B17">
        <f>SUM(B13:B16)</f>
        <v>40</v>
      </c>
      <c r="C17">
        <f t="shared" ref="C17:E17" si="1">SUM(C13:C16)</f>
        <v>30</v>
      </c>
      <c r="D17">
        <f t="shared" si="1"/>
        <v>35</v>
      </c>
      <c r="E17">
        <f t="shared" si="1"/>
        <v>15</v>
      </c>
    </row>
    <row r="18" spans="1:7" x14ac:dyDescent="0.3">
      <c r="G18" s="5">
        <f>SUMPRODUCT(B6:E9, B13:E16)</f>
        <v>330</v>
      </c>
    </row>
    <row r="20" spans="1:7" x14ac:dyDescent="0.3">
      <c r="A20" s="3">
        <f>SUMPRODUCT(B6:F8, B13:F15)</f>
        <v>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алихан</dc:creator>
  <cp:lastModifiedBy>Софья Демченко</cp:lastModifiedBy>
  <dcterms:created xsi:type="dcterms:W3CDTF">2025-12-29T10:05:43Z</dcterms:created>
  <dcterms:modified xsi:type="dcterms:W3CDTF">2026-01-08T21:20:39Z</dcterms:modified>
</cp:coreProperties>
</file>